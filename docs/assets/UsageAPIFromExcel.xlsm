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hoareau\IdeaProjects\ticketShare\src\assets\"/>
    </mc:Choice>
  </mc:AlternateContent>
  <bookViews>
    <workbookView xWindow="0" yWindow="0" windowWidth="28800" windowHeight="12300" activeTab="1"/>
  </bookViews>
  <sheets>
    <sheet name="Fabriquer un événement" sheetId="1" r:id="rId1"/>
    <sheet name="Billets" sheetId="2" r:id="rId2"/>
    <sheet name="Références" sheetId="3" r:id="rId3"/>
    <sheet name="Stats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6" i="1" l="1"/>
  <c r="E6" i="4" l="1"/>
  <c r="E7" i="4"/>
  <c r="E8" i="4"/>
  <c r="E5" i="4"/>
  <c r="J2" i="2" l="1"/>
  <c r="G4" i="1" l="1"/>
  <c r="D11" i="1"/>
  <c r="J4" i="2"/>
  <c r="C9" i="2"/>
  <c r="C10" i="2"/>
  <c r="C11" i="2"/>
  <c r="C12" i="2"/>
  <c r="J3" i="2"/>
  <c r="J11" i="2"/>
  <c r="E3" i="2" l="1"/>
  <c r="K10" i="2"/>
  <c r="K11" i="2"/>
  <c r="K12" i="2"/>
  <c r="K9" i="2"/>
  <c r="E4" i="2"/>
  <c r="G3" i="1"/>
  <c r="L34" i="1"/>
  <c r="L35" i="1"/>
  <c r="L36" i="1"/>
  <c r="L37" i="1"/>
  <c r="L38" i="1"/>
  <c r="L39" i="1"/>
  <c r="L40" i="1"/>
  <c r="L2" i="1"/>
  <c r="L3" i="1"/>
  <c r="L6" i="1"/>
  <c r="L7" i="1"/>
  <c r="L8" i="1"/>
  <c r="L9" i="1"/>
  <c r="L10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41" i="1"/>
  <c r="L42" i="1"/>
  <c r="L43" i="1"/>
  <c r="L44" i="1"/>
  <c r="L45" i="1"/>
  <c r="L46" i="1"/>
  <c r="L47" i="1"/>
  <c r="L48" i="1"/>
  <c r="J12" i="2"/>
  <c r="J10" i="2"/>
  <c r="L11" i="1"/>
  <c r="J9" i="2"/>
</calcChain>
</file>

<file path=xl/sharedStrings.xml><?xml version="1.0" encoding="utf-8"?>
<sst xmlns="http://schemas.openxmlformats.org/spreadsheetml/2006/main" count="117" uniqueCount="109">
  <si>
    <t>Ttire de l'événement</t>
  </si>
  <si>
    <t>Description</t>
  </si>
  <si>
    <t>Mail de l'organisateur</t>
  </si>
  <si>
    <t>Visuel du flyer</t>
  </si>
  <si>
    <t>Lieu</t>
  </si>
  <si>
    <t>Adresse du lieu</t>
  </si>
  <si>
    <t>Catégorie d'événement</t>
  </si>
  <si>
    <t>salle</t>
  </si>
  <si>
    <t>category</t>
  </si>
  <si>
    <t>address</t>
  </si>
  <si>
    <t>description</t>
  </si>
  <si>
    <t>Mode de validation des billets</t>
  </si>
  <si>
    <t>Destruction instantané</t>
  </si>
  <si>
    <t>Email des personnes en charge de valider</t>
  </si>
  <si>
    <t>Contrôle des accès</t>
  </si>
  <si>
    <t>Lieu de l'événement</t>
  </si>
  <si>
    <t>Description de votre événement</t>
  </si>
  <si>
    <t>Vidéo associée à l'événement</t>
  </si>
  <si>
    <t>youtube</t>
  </si>
  <si>
    <t>Promotion de l'événement</t>
  </si>
  <si>
    <t>tags</t>
  </si>
  <si>
    <t>visual</t>
  </si>
  <si>
    <t>Site web de l'événement</t>
  </si>
  <si>
    <t>landing_page</t>
  </si>
  <si>
    <t>Billets</t>
  </si>
  <si>
    <t>website</t>
  </si>
  <si>
    <t>Page d'acceuil de l'événement</t>
  </si>
  <si>
    <t>Référence du billet</t>
  </si>
  <si>
    <t>Prix</t>
  </si>
  <si>
    <t>owner</t>
  </si>
  <si>
    <t>name</t>
  </si>
  <si>
    <t>security_level</t>
  </si>
  <si>
    <t>Nombre maximum de billets gratuits maximum par personne</t>
  </si>
  <si>
    <t>Couleur de fond des billets</t>
  </si>
  <si>
    <t>Mon événément</t>
  </si>
  <si>
    <t>hhoareau@gmail.com</t>
  </si>
  <si>
    <t>catégorie d'événement</t>
  </si>
  <si>
    <t>Concert</t>
  </si>
  <si>
    <t>Spectacle</t>
  </si>
  <si>
    <t>Conférences</t>
  </si>
  <si>
    <t>Théâtre</t>
  </si>
  <si>
    <t>Cinéma</t>
  </si>
  <si>
    <t>Exposition</t>
  </si>
  <si>
    <t>Organisateur</t>
  </si>
  <si>
    <t>Token développeur</t>
  </si>
  <si>
    <t>max_free_by_user</t>
  </si>
  <si>
    <r>
      <t>background_color</t>
    </r>
    <r>
      <rPr>
        <sz val="10"/>
        <color rgb="FF000000"/>
        <rFont val="Courier New"/>
        <family val="3"/>
      </rPr>
      <t/>
    </r>
  </si>
  <si>
    <t>"DDDDDD"</t>
  </si>
  <si>
    <t>Oui / Non</t>
  </si>
  <si>
    <t>Oui</t>
  </si>
  <si>
    <t>Non</t>
  </si>
  <si>
    <t>Début</t>
  </si>
  <si>
    <t>date</t>
  </si>
  <si>
    <t>Format d'affichage des dates</t>
  </si>
  <si>
    <t>dd/mm</t>
  </si>
  <si>
    <t>date_format</t>
  </si>
  <si>
    <t>Un super événement ou l'on va bien s'amuser</t>
  </si>
  <si>
    <t>billeterie externe</t>
  </si>
  <si>
    <t>https://app.kerberus.tech/assets/store.html</t>
  </si>
  <si>
    <t>x</t>
  </si>
  <si>
    <t>validate</t>
  </si>
  <si>
    <t xml:space="preserve"> auto_validate</t>
  </si>
  <si>
    <t xml:space="preserve"> instant_burn</t>
  </si>
  <si>
    <t xml:space="preserve"> checkers</t>
  </si>
  <si>
    <t>store:\n web</t>
  </si>
  <si>
    <t>Référence de l'événement</t>
  </si>
  <si>
    <t>Root API</t>
  </si>
  <si>
    <t>Date événemenent</t>
  </si>
  <si>
    <t>paul.dudule@gmail.com</t>
  </si>
  <si>
    <t>sophie.dudule@gmail.com</t>
  </si>
  <si>
    <t>roger.legumes@gmail.com</t>
  </si>
  <si>
    <t>herve.hoareau@f80.fr</t>
  </si>
  <si>
    <t>Point ephemere</t>
  </si>
  <si>
    <t>Point ephemere, paris 10</t>
  </si>
  <si>
    <t>Evénement dispo</t>
  </si>
  <si>
    <t>Identifiant de l'événement</t>
  </si>
  <si>
    <t>demo_token</t>
  </si>
  <si>
    <t>Résultat de la sécurisation</t>
  </si>
  <si>
    <t>API appelée pour sécurisé le billet</t>
  </si>
  <si>
    <t>Liste des billets à sécuriser (vous pouvez en ajouter)</t>
  </si>
  <si>
    <t>Voir mon événement dans l'application</t>
  </si>
  <si>
    <t>Domaine serveur</t>
  </si>
  <si>
    <t>Domaine application</t>
  </si>
  <si>
    <t>http://localhost:6800</t>
  </si>
  <si>
    <t>http://localhost:4200</t>
  </si>
  <si>
    <t>Ouvrir l'appli pour l'utilisateur</t>
  </si>
  <si>
    <t>API appelée pour créer l'événement</t>
  </si>
  <si>
    <t>Utilisé</t>
  </si>
  <si>
    <t>Local</t>
  </si>
  <si>
    <t>Serveur</t>
  </si>
  <si>
    <t>https://server.f80.fr:6800</t>
  </si>
  <si>
    <t>https://app.kerberus.tech</t>
  </si>
  <si>
    <t>Sécurisation par la blockchaine ?</t>
  </si>
  <si>
    <t>Titre</t>
  </si>
  <si>
    <t xml:space="preserve">             Fabrication d'un événement</t>
  </si>
  <si>
    <t xml:space="preserve">              Sécurisation des billets</t>
  </si>
  <si>
    <t>Id KERBERUS</t>
  </si>
  <si>
    <t>Heure</t>
  </si>
  <si>
    <t xml:space="preserve">             Statistiques de ventes</t>
  </si>
  <si>
    <t>API appelée</t>
  </si>
  <si>
    <t>stats</t>
  </si>
  <si>
    <t>cats</t>
  </si>
  <si>
    <t>tickets</t>
  </si>
  <si>
    <t>statsDates</t>
  </si>
  <si>
    <t>Catégorie</t>
  </si>
  <si>
    <t>Vendues</t>
  </si>
  <si>
    <t>Titulaire</t>
  </si>
  <si>
    <t>conference philosophie sciences</t>
  </si>
  <si>
    <t>Adresse du wallet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</si>
</sst>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ourier New"/>
      <family val="3"/>
    </font>
    <font>
      <b/>
      <sz val="10"/>
      <color rgb="FF000080"/>
      <name val="Courier New"/>
      <family val="3"/>
    </font>
    <font>
      <sz val="11"/>
      <name val="Calibri"/>
      <family val="2"/>
      <scheme val="minor"/>
    </font>
    <font>
      <b/>
      <sz val="10"/>
      <name val="Courier New"/>
      <family val="3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24"/>
      <color rgb="FF3F3F3F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4"/>
      <color rgb="FF000000"/>
      <name val="Calibri"/>
      <family val="2"/>
    </font>
    <font>
      <b/>
      <sz val="14"/>
      <color rgb="FF3F3F3F"/>
      <name val="Calibri"/>
      <family val="2"/>
      <scheme val="minor"/>
    </font>
    <font>
      <b/>
      <sz val="9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6"/>
      </patternFill>
    </fill>
    <fill>
      <patternFill patternType="solid">
        <fgColor rgb="FFFFFFFF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9" fillId="5" borderId="0" applyNumberFormat="0" applyBorder="0" applyAlignment="0" applyProtection="0"/>
    <xf numFmtId="0" fontId="10" fillId="6" borderId="1" applyNumberFormat="0" applyAlignment="0" applyProtection="0"/>
    <xf numFmtId="0" fontId="2" fillId="7" borderId="0" applyNumberFormat="0" applyBorder="0" applyAlignment="0" applyProtection="0"/>
    <xf numFmtId="0" fontId="2" fillId="9" borderId="0" applyNumberFormat="0" applyBorder="0" applyAlignment="0" applyProtection="0"/>
  </cellStyleXfs>
  <cellXfs count="53">
    <xf numFmtId="0" fontId="0" fillId="0" borderId="0" xfId="0"/>
    <xf numFmtId="0" fontId="4" fillId="0" borderId="0" xfId="0" applyFont="1" applyAlignment="1">
      <alignment vertical="center"/>
    </xf>
    <xf numFmtId="0" fontId="4" fillId="4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1" fillId="2" borderId="0" xfId="1"/>
    <xf numFmtId="0" fontId="0" fillId="2" borderId="0" xfId="1" applyFont="1"/>
    <xf numFmtId="0" fontId="5" fillId="0" borderId="0" xfId="0" applyFont="1"/>
    <xf numFmtId="0" fontId="6" fillId="0" borderId="0" xfId="0" applyFont="1" applyAlignment="1">
      <alignment vertical="center"/>
    </xf>
    <xf numFmtId="0" fontId="6" fillId="4" borderId="0" xfId="0" applyFont="1" applyFill="1" applyAlignment="1">
      <alignment vertical="center"/>
    </xf>
    <xf numFmtId="0" fontId="7" fillId="0" borderId="0" xfId="3"/>
    <xf numFmtId="0" fontId="0" fillId="0" borderId="0" xfId="0" applyAlignment="1">
      <alignment horizontal="left"/>
    </xf>
    <xf numFmtId="0" fontId="7" fillId="0" borderId="0" xfId="3" applyAlignment="1">
      <alignment horizontal="left"/>
    </xf>
    <xf numFmtId="0" fontId="1" fillId="2" borderId="0" xfId="1" applyAlignment="1">
      <alignment horizontal="left"/>
    </xf>
    <xf numFmtId="14" fontId="0" fillId="0" borderId="0" xfId="0" applyNumberFormat="1" applyAlignment="1">
      <alignment horizontal="left"/>
    </xf>
    <xf numFmtId="0" fontId="2" fillId="3" borderId="0" xfId="2"/>
    <xf numFmtId="0" fontId="2" fillId="3" borderId="0" xfId="2" applyAlignment="1">
      <alignment vertical="top"/>
    </xf>
    <xf numFmtId="0" fontId="0" fillId="0" borderId="0" xfId="0" applyAlignment="1">
      <alignment horizontal="left" vertical="top"/>
    </xf>
    <xf numFmtId="0" fontId="2" fillId="3" borderId="0" xfId="2" applyAlignment="1">
      <alignment wrapText="1"/>
    </xf>
    <xf numFmtId="14" fontId="0" fillId="0" borderId="0" xfId="0" applyNumberFormat="1" applyAlignment="1">
      <alignment horizontal="center"/>
    </xf>
    <xf numFmtId="0" fontId="7" fillId="0" borderId="0" xfId="3" applyAlignment="1">
      <alignment horizontal="center"/>
    </xf>
    <xf numFmtId="0" fontId="11" fillId="0" borderId="0" xfId="0" applyFont="1" applyAlignment="1">
      <alignment horizontal="center" vertical="top" wrapText="1"/>
    </xf>
    <xf numFmtId="0" fontId="2" fillId="3" borderId="0" xfId="2" applyAlignment="1">
      <alignment horizontal="left"/>
    </xf>
    <xf numFmtId="0" fontId="0" fillId="0" borderId="0" xfId="0" applyAlignment="1">
      <alignment wrapText="1"/>
    </xf>
    <xf numFmtId="0" fontId="2" fillId="7" borderId="0" xfId="6" applyAlignment="1">
      <alignment wrapText="1"/>
    </xf>
    <xf numFmtId="0" fontId="2" fillId="3" borderId="1" xfId="2" applyBorder="1"/>
    <xf numFmtId="0" fontId="2" fillId="7" borderId="0" xfId="6"/>
    <xf numFmtId="0" fontId="9" fillId="5" borderId="0" xfId="4"/>
    <xf numFmtId="0" fontId="9" fillId="5" borderId="0" xfId="4" applyAlignment="1">
      <alignment horizontal="center"/>
    </xf>
    <xf numFmtId="0" fontId="2" fillId="3" borderId="0" xfId="2" applyAlignment="1">
      <alignment horizontal="left" vertical="top"/>
    </xf>
    <xf numFmtId="0" fontId="7" fillId="0" borderId="0" xfId="3" applyAlignment="1">
      <alignment horizontal="left" vertical="top"/>
    </xf>
    <xf numFmtId="0" fontId="10" fillId="6" borderId="1" xfId="5" applyAlignment="1">
      <alignment horizontal="left" vertical="top" wrapText="1"/>
    </xf>
    <xf numFmtId="0" fontId="0" fillId="8" borderId="0" xfId="0" applyFill="1" applyAlignment="1">
      <alignment horizontal="center"/>
    </xf>
    <xf numFmtId="0" fontId="12" fillId="0" borderId="0" xfId="0" applyFont="1"/>
    <xf numFmtId="0" fontId="13" fillId="3" borderId="0" xfId="2" applyFont="1" applyAlignment="1">
      <alignment wrapText="1"/>
    </xf>
    <xf numFmtId="0" fontId="7" fillId="0" borderId="0" xfId="3" applyAlignment="1">
      <alignment vertical="center"/>
    </xf>
    <xf numFmtId="0" fontId="14" fillId="6" borderId="1" xfId="5" applyFont="1" applyAlignment="1">
      <alignment horizontal="left"/>
    </xf>
    <xf numFmtId="0" fontId="15" fillId="0" borderId="0" xfId="0" applyFont="1" applyAlignment="1">
      <alignment horizontal="left"/>
    </xf>
    <xf numFmtId="0" fontId="2" fillId="9" borderId="0" xfId="7" applyAlignment="1">
      <alignment horizontal="center"/>
    </xf>
    <xf numFmtId="0" fontId="2" fillId="9" borderId="0" xfId="7"/>
    <xf numFmtId="0" fontId="2" fillId="9" borderId="0" xfId="7" applyAlignment="1">
      <alignment wrapText="1"/>
    </xf>
    <xf numFmtId="0" fontId="16" fillId="9" borderId="0" xfId="7" applyFont="1" applyAlignment="1">
      <alignment vertical="center"/>
    </xf>
    <xf numFmtId="0" fontId="2" fillId="9" borderId="0" xfId="7" applyAlignment="1">
      <alignment horizontal="left"/>
    </xf>
    <xf numFmtId="0" fontId="16" fillId="9" borderId="0" xfId="7" applyFont="1" applyAlignment="1">
      <alignment vertical="top"/>
    </xf>
    <xf numFmtId="0" fontId="0" fillId="0" borderId="0" xfId="0" applyAlignment="1">
      <alignment vertical="top"/>
    </xf>
    <xf numFmtId="0" fontId="1" fillId="2" borderId="0" xfId="1" applyAlignment="1">
      <alignment vertical="top"/>
    </xf>
    <xf numFmtId="0" fontId="2" fillId="3" borderId="1" xfId="2" applyBorder="1" applyAlignment="1">
      <alignment wrapText="1"/>
    </xf>
    <xf numFmtId="0" fontId="9" fillId="5" borderId="0" xfId="4" applyAlignment="1">
      <alignment horizontal="center" wrapText="1"/>
    </xf>
    <xf numFmtId="164" fontId="0" fillId="0" borderId="0" xfId="0" applyNumberFormat="1" applyAlignment="1">
      <alignment horizontal="center"/>
    </xf>
    <xf numFmtId="0" fontId="18" fillId="6" borderId="1" xfId="5" applyFont="1" applyAlignment="1">
      <alignment horizontal="left" vertical="center"/>
    </xf>
    <xf numFmtId="0" fontId="2" fillId="7" borderId="0" xfId="6" applyAlignment="1">
      <alignment horizontal="center" wrapText="1"/>
    </xf>
    <xf numFmtId="0" fontId="19" fillId="0" borderId="0" xfId="0" applyFont="1" applyAlignment="1">
      <alignment horizontal="center" wrapText="1"/>
    </xf>
    <xf numFmtId="0" fontId="2" fillId="3" borderId="0" xfId="2" applyAlignment="1">
      <alignment horizontal="left" vertical="top"/>
    </xf>
    <xf numFmtId="0" fontId="2" fillId="7" borderId="0" xfId="6" applyAlignment="1">
      <alignment horizontal="left" wrapText="1"/>
    </xf>
  </cellXfs>
  <cellStyles count="8">
    <cellStyle name="40 % - Accent1" xfId="1" builtinId="31"/>
    <cellStyle name="Accent1" xfId="6" builtinId="29"/>
    <cellStyle name="Accent3" xfId="2" builtinId="37"/>
    <cellStyle name="Accent5" xfId="7" builtinId="45"/>
    <cellStyle name="Lien hypertexte" xfId="3" builtinId="8"/>
    <cellStyle name="Neutre" xfId="4" builtinId="28"/>
    <cellStyle name="Normal" xfId="0" builtinId="0"/>
    <cellStyle name="Sortie" xfId="5" builtinId="21"/>
  </cellStyles>
  <dxfs count="6">
    <dxf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server.f80.fr:6800/api/faqs?format=html&amp;summary=True#all_api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7</xdr:row>
          <xdr:rowOff>38100</xdr:rowOff>
        </xdr:from>
        <xdr:to>
          <xdr:col>0</xdr:col>
          <xdr:colOff>1228725</xdr:colOff>
          <xdr:row>10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 l'événement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1152526</xdr:colOff>
      <xdr:row>9</xdr:row>
      <xdr:rowOff>85726</xdr:rowOff>
    </xdr:from>
    <xdr:to>
      <xdr:col>6</xdr:col>
      <xdr:colOff>104776</xdr:colOff>
      <xdr:row>16</xdr:row>
      <xdr:rowOff>123826</xdr:rowOff>
    </xdr:to>
    <xdr:sp macro="" textlink="">
      <xdr:nvSpPr>
        <xdr:cNvPr id="3" name="Carré corné 2"/>
        <xdr:cNvSpPr/>
      </xdr:nvSpPr>
      <xdr:spPr>
        <a:xfrm>
          <a:off x="9829801" y="1609726"/>
          <a:ext cx="3086100" cy="1695450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 onglet est utilisable</a:t>
          </a:r>
          <a:r>
            <a:rPr lang="fr-FR" sz="1100" baseline="0"/>
            <a:t> pour créer des événements dans KERBERUS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Il suffit de remplir le formulaire en colonne D puis de déclencher la création de l'événement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création des billets se fait dans l'onglet suivant</a:t>
          </a:r>
        </a:p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66675</xdr:colOff>
      <xdr:row>0</xdr:row>
      <xdr:rowOff>0</xdr:rowOff>
    </xdr:from>
    <xdr:to>
      <xdr:col>0</xdr:col>
      <xdr:colOff>1066800</xdr:colOff>
      <xdr:row>3</xdr:row>
      <xdr:rowOff>85725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0"/>
          <a:ext cx="1000125" cy="10001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13</xdr:row>
          <xdr:rowOff>152400</xdr:rowOff>
        </xdr:from>
        <xdr:to>
          <xdr:col>7</xdr:col>
          <xdr:colOff>695325</xdr:colOff>
          <xdr:row>17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Sécuriser les billets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47625</xdr:colOff>
      <xdr:row>0</xdr:row>
      <xdr:rowOff>0</xdr:rowOff>
    </xdr:from>
    <xdr:to>
      <xdr:col>2</xdr:col>
      <xdr:colOff>390525</xdr:colOff>
      <xdr:row>2</xdr:row>
      <xdr:rowOff>142875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0"/>
          <a:ext cx="1000125" cy="1000125"/>
        </a:xfrm>
        <a:prstGeom prst="rect">
          <a:avLst/>
        </a:prstGeom>
      </xdr:spPr>
    </xdr:pic>
    <xdr:clientData/>
  </xdr:twoCellAnchor>
  <xdr:twoCellAnchor>
    <xdr:from>
      <xdr:col>10</xdr:col>
      <xdr:colOff>295274</xdr:colOff>
      <xdr:row>1</xdr:row>
      <xdr:rowOff>104776</xdr:rowOff>
    </xdr:from>
    <xdr:to>
      <xdr:col>10</xdr:col>
      <xdr:colOff>1733549</xdr:colOff>
      <xdr:row>4</xdr:row>
      <xdr:rowOff>95251</xdr:rowOff>
    </xdr:to>
    <xdr:sp macro="" textlink="">
      <xdr:nvSpPr>
        <xdr:cNvPr id="4" name="Parchemin horizontal 3">
          <a:hlinkClick xmlns:r="http://schemas.openxmlformats.org/officeDocument/2006/relationships" r:id="rId2"/>
        </xdr:cNvPr>
        <xdr:cNvSpPr/>
      </xdr:nvSpPr>
      <xdr:spPr>
        <a:xfrm>
          <a:off x="12868274" y="609601"/>
          <a:ext cx="1438275" cy="914400"/>
        </a:xfrm>
        <a:prstGeom prst="horizontalScroll">
          <a:avLst>
            <a:gd name="adj" fmla="val 19349"/>
          </a:avLst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tx1"/>
              </a:solidFill>
            </a:rPr>
            <a:t>Consulter</a:t>
          </a:r>
          <a:r>
            <a:rPr lang="fr-FR" sz="1000" b="1" baseline="0">
              <a:solidFill>
                <a:schemeClr val="tx1"/>
              </a:solidFill>
            </a:rPr>
            <a:t> la</a:t>
          </a:r>
          <a:endParaRPr lang="fr-FR" sz="1000" b="1">
            <a:solidFill>
              <a:schemeClr val="tx1"/>
            </a:solidFill>
          </a:endParaRPr>
        </a:p>
        <a:p>
          <a:pPr algn="ctr"/>
          <a:r>
            <a:rPr lang="fr-FR" sz="1000" b="1">
              <a:solidFill>
                <a:schemeClr val="tx1"/>
              </a:solidFill>
            </a:rPr>
            <a:t>Documentation de l'API</a:t>
          </a:r>
        </a:p>
      </xdr:txBody>
    </xdr:sp>
    <xdr:clientData/>
  </xdr:twoCellAnchor>
  <xdr:twoCellAnchor>
    <xdr:from>
      <xdr:col>5</xdr:col>
      <xdr:colOff>504824</xdr:colOff>
      <xdr:row>18</xdr:row>
      <xdr:rowOff>85724</xdr:rowOff>
    </xdr:from>
    <xdr:to>
      <xdr:col>8</xdr:col>
      <xdr:colOff>800099</xdr:colOff>
      <xdr:row>30</xdr:row>
      <xdr:rowOff>19050</xdr:rowOff>
    </xdr:to>
    <xdr:sp macro="" textlink="">
      <xdr:nvSpPr>
        <xdr:cNvPr id="6" name="Carré corné 5"/>
        <xdr:cNvSpPr/>
      </xdr:nvSpPr>
      <xdr:spPr>
        <a:xfrm>
          <a:off x="6467474" y="4276724"/>
          <a:ext cx="2867025" cy="2219326"/>
        </a:xfrm>
        <a:prstGeom prst="foldedCorner">
          <a:avLst>
            <a:gd name="adj" fmla="val 1452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 onglet est utilisable</a:t>
          </a:r>
          <a:r>
            <a:rPr lang="fr-FR" sz="1100" baseline="0"/>
            <a:t> pour sécuriser des billets de l'événement créé dans l'onglet précédent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Les billets sont fabriquer en remplissant le tableau des colonnes C a F puis en activant la commande "sécuriser les billets"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A ce moment chaque billet est sécurisé et le titulaire  du billet est informé par mail de la procédure de validation avec cette sécurisation</a:t>
          </a:r>
        </a:p>
        <a:p>
          <a:pPr algn="l"/>
          <a:endParaRPr lang="fr-FR" sz="1100"/>
        </a:p>
      </xdr:txBody>
    </xdr:sp>
    <xdr:clientData/>
  </xdr:twoCellAnchor>
  <xdr:twoCellAnchor>
    <xdr:from>
      <xdr:col>5</xdr:col>
      <xdr:colOff>790575</xdr:colOff>
      <xdr:row>12</xdr:row>
      <xdr:rowOff>180976</xdr:rowOff>
    </xdr:from>
    <xdr:to>
      <xdr:col>6</xdr:col>
      <xdr:colOff>400051</xdr:colOff>
      <xdr:row>16</xdr:row>
      <xdr:rowOff>28576</xdr:rowOff>
    </xdr:to>
    <xdr:sp macro="" textlink="">
      <xdr:nvSpPr>
        <xdr:cNvPr id="5" name="Virage 4"/>
        <xdr:cNvSpPr/>
      </xdr:nvSpPr>
      <xdr:spPr>
        <a:xfrm flipV="1">
          <a:off x="6753225" y="3228976"/>
          <a:ext cx="600076" cy="609600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804863</xdr:colOff>
      <xdr:row>12</xdr:row>
      <xdr:rowOff>119063</xdr:rowOff>
    </xdr:from>
    <xdr:to>
      <xdr:col>8</xdr:col>
      <xdr:colOff>585788</xdr:colOff>
      <xdr:row>15</xdr:row>
      <xdr:rowOff>147639</xdr:rowOff>
    </xdr:to>
    <xdr:sp macro="" textlink="">
      <xdr:nvSpPr>
        <xdr:cNvPr id="8" name="Virage 7"/>
        <xdr:cNvSpPr/>
      </xdr:nvSpPr>
      <xdr:spPr>
        <a:xfrm rot="16200000" flipV="1">
          <a:off x="8515350" y="3162301"/>
          <a:ext cx="600076" cy="609600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3</xdr:row>
          <xdr:rowOff>133350</xdr:rowOff>
        </xdr:from>
        <xdr:to>
          <xdr:col>1</xdr:col>
          <xdr:colOff>523875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Rafraichir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les ventes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47625</xdr:colOff>
      <xdr:row>0</xdr:row>
      <xdr:rowOff>0</xdr:rowOff>
    </xdr:from>
    <xdr:to>
      <xdr:col>1</xdr:col>
      <xdr:colOff>114300</xdr:colOff>
      <xdr:row>3</xdr:row>
      <xdr:rowOff>85725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0"/>
          <a:ext cx="1000125" cy="10001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eau2" displayName="Tableau2" ref="C8:G12" totalsRowShown="0" headerRowDxfId="5" headerRowCellStyle="Neutre">
  <autoFilter ref="C8:G12"/>
  <tableColumns count="5">
    <tableColumn id="1" name="Référence du billet" dataDxfId="4">
      <calculatedColumnFormula>"Ref #" &amp; B9</calculatedColumnFormula>
    </tableColumn>
    <tableColumn id="2" name="Titulaire" dataDxfId="3" dataCellStyle="Lien hypertexte"/>
    <tableColumn id="3" name="Date événemenent" dataDxfId="2">
      <calculatedColumnFormula>'Fabriquer un événement'!$D$11+0.1</calculatedColumnFormula>
    </tableColumn>
    <tableColumn id="5" name="Heure" dataDxfId="1"/>
    <tableColumn id="4" name="Prix" dataDxfId="0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pp.kerberus.tech/assets/store.html" TargetMode="External"/><Relationship Id="rId1" Type="http://schemas.openxmlformats.org/officeDocument/2006/relationships/hyperlink" Target="mailto:hhoareau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paul.dudule@gmail.com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mailto:roger.legumes@gmail.com" TargetMode="External"/><Relationship Id="rId1" Type="http://schemas.openxmlformats.org/officeDocument/2006/relationships/hyperlink" Target="http://localhost:6800/api/add_ticket" TargetMode="External"/><Relationship Id="rId6" Type="http://schemas.openxmlformats.org/officeDocument/2006/relationships/drawing" Target="../drawings/drawing2.xml"/><Relationship Id="rId5" Type="http://schemas.openxmlformats.org/officeDocument/2006/relationships/hyperlink" Target="mailto:herve.hoareau@f80.fr" TargetMode="External"/><Relationship Id="rId4" Type="http://schemas.openxmlformats.org/officeDocument/2006/relationships/hyperlink" Target="mailto:sophie.dudule@gmail.com" TargetMode="Externa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localhost:4200/" TargetMode="External"/><Relationship Id="rId1" Type="http://schemas.openxmlformats.org/officeDocument/2006/relationships/hyperlink" Target="http://localhost:6800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48"/>
  <sheetViews>
    <sheetView showGridLines="0" workbookViewId="0">
      <selection activeCell="C6" sqref="C6"/>
    </sheetView>
  </sheetViews>
  <sheetFormatPr baseColWidth="10" defaultRowHeight="15" x14ac:dyDescent="0.25"/>
  <cols>
    <col min="1" max="1" width="22.5703125" customWidth="1"/>
    <col min="2" max="2" width="3.7109375" customWidth="1"/>
    <col min="3" max="3" width="37.85546875" customWidth="1"/>
    <col min="4" max="4" width="66" style="10" customWidth="1"/>
    <col min="5" max="5" width="21.7109375" customWidth="1"/>
    <col min="6" max="6" width="40.28515625" style="32" customWidth="1"/>
    <col min="7" max="8" width="13.28515625" customWidth="1"/>
    <col min="9" max="9" width="39.28515625" customWidth="1"/>
    <col min="10" max="10" width="4.28515625" hidden="1" customWidth="1"/>
    <col min="11" max="13" width="13.28515625" hidden="1" customWidth="1"/>
    <col min="14" max="15" width="13.28515625" customWidth="1"/>
  </cols>
  <sheetData>
    <row r="1" spans="1:12" s="38" customFormat="1" ht="42" customHeight="1" x14ac:dyDescent="0.25">
      <c r="A1" s="42" t="s">
        <v>94</v>
      </c>
      <c r="D1" s="41"/>
    </row>
    <row r="2" spans="1:12" x14ac:dyDescent="0.25">
      <c r="B2" s="4" t="s">
        <v>43</v>
      </c>
      <c r="C2" s="4"/>
      <c r="D2" s="12"/>
      <c r="J2" t="s">
        <v>59</v>
      </c>
      <c r="L2" t="str">
        <f t="shared" ref="L2:L40" si="0">IF(J2="x","",IF(B2&lt;&gt;"",K2 &amp; ":",IF(AND(C2&lt;&gt;"", D2&lt;&gt;""),K2 &amp; ": " &amp; D2,"")))</f>
        <v/>
      </c>
    </row>
    <row r="3" spans="1:12" x14ac:dyDescent="0.25">
      <c r="B3" s="14"/>
      <c r="C3" s="15" t="s">
        <v>2</v>
      </c>
      <c r="D3" s="29" t="s">
        <v>35</v>
      </c>
      <c r="F3" s="33" t="s">
        <v>80</v>
      </c>
      <c r="G3" s="9" t="str">
        <f>HYPERLINK(Références!B16 &amp; "?command=store&amp;idevent=" &amp; D5)</f>
        <v>https://app.kerberus.tech?command=store&amp;idevent=1590153850</v>
      </c>
      <c r="K3" s="7" t="s">
        <v>29</v>
      </c>
      <c r="L3" t="str">
        <f t="shared" si="0"/>
        <v>owner: hhoareau@gmail.com</v>
      </c>
    </row>
    <row r="4" spans="1:12" x14ac:dyDescent="0.25">
      <c r="B4" s="14"/>
      <c r="C4" s="15" t="s">
        <v>44</v>
      </c>
      <c r="D4" s="16" t="s">
        <v>76</v>
      </c>
      <c r="F4" s="33" t="s">
        <v>86</v>
      </c>
      <c r="G4" s="9" t="str">
        <f>Références!B15 &amp; "/api/add_event"</f>
        <v>https://server.f80.fr:6800/api/add_event</v>
      </c>
    </row>
    <row r="5" spans="1:12" x14ac:dyDescent="0.25">
      <c r="B5" s="21"/>
      <c r="C5" s="28" t="s">
        <v>75</v>
      </c>
      <c r="D5" s="30">
        <v>1590153850</v>
      </c>
    </row>
    <row r="6" spans="1:12" x14ac:dyDescent="0.25">
      <c r="G6" s="9" t="str">
        <f>HYPERLINK(Références!B15&amp;"/api/raz/" &amp; _xlfn.ENCODEURL(D3),"RAZ")</f>
        <v>RAZ</v>
      </c>
      <c r="L6" t="str">
        <f>IF(J6="x","",IF(B6&lt;&gt;"",K6 &amp; ":",IF(AND(C5&lt;&gt;"", D6&lt;&gt;""),K6 &amp; ": " &amp; D6,"")))</f>
        <v/>
      </c>
    </row>
    <row r="7" spans="1:12" x14ac:dyDescent="0.25">
      <c r="G7" s="9" t="str">
        <f>IF(D5&lt;&gt;"",HYPERLINK(Références!B16 &amp; "?command=validate&amp;event=" &amp; D5,"Valider les billets"),"")</f>
        <v>Valider les billets</v>
      </c>
      <c r="L7" t="str">
        <f t="shared" si="0"/>
        <v/>
      </c>
    </row>
    <row r="8" spans="1:12" x14ac:dyDescent="0.25">
      <c r="B8" s="4" t="s">
        <v>16</v>
      </c>
      <c r="C8" s="4"/>
      <c r="D8" s="12"/>
      <c r="J8" t="s">
        <v>59</v>
      </c>
      <c r="L8" t="str">
        <f t="shared" si="0"/>
        <v/>
      </c>
    </row>
    <row r="9" spans="1:12" ht="31.5" x14ac:dyDescent="0.5">
      <c r="B9" s="14"/>
      <c r="C9" s="15" t="s">
        <v>0</v>
      </c>
      <c r="D9" s="36" t="s">
        <v>34</v>
      </c>
      <c r="K9" s="6" t="s">
        <v>30</v>
      </c>
      <c r="L9" t="str">
        <f t="shared" si="0"/>
        <v>name: Mon événément</v>
      </c>
    </row>
    <row r="10" spans="1:12" x14ac:dyDescent="0.25">
      <c r="B10" s="14"/>
      <c r="C10" s="15" t="s">
        <v>6</v>
      </c>
      <c r="D10" s="10" t="s">
        <v>39</v>
      </c>
      <c r="K10" s="7" t="s">
        <v>8</v>
      </c>
      <c r="L10" t="str">
        <f t="shared" si="0"/>
        <v>category: Conférences</v>
      </c>
    </row>
    <row r="11" spans="1:12" x14ac:dyDescent="0.25">
      <c r="A11" s="22"/>
      <c r="B11" s="14"/>
      <c r="C11" s="15" t="s">
        <v>51</v>
      </c>
      <c r="D11" s="13">
        <f ca="1">NOW()-1</f>
        <v>43974.855049999998</v>
      </c>
      <c r="K11" s="7" t="s">
        <v>52</v>
      </c>
      <c r="L11" t="str">
        <f ca="1">K11 &amp; ": " &amp; toUnix(D11)</f>
        <v>date: 1590265876</v>
      </c>
    </row>
    <row r="12" spans="1:12" x14ac:dyDescent="0.25">
      <c r="A12" s="50" t="s">
        <v>74</v>
      </c>
      <c r="C12" s="43"/>
      <c r="K12" s="7"/>
    </row>
    <row r="13" spans="1:12" ht="27" customHeight="1" x14ac:dyDescent="0.25">
      <c r="A13" s="20"/>
      <c r="C13" s="43"/>
      <c r="K13" s="6"/>
      <c r="L13" t="str">
        <f t="shared" si="0"/>
        <v/>
      </c>
    </row>
    <row r="14" spans="1:12" x14ac:dyDescent="0.25">
      <c r="B14" s="5" t="s">
        <v>19</v>
      </c>
      <c r="C14" s="44"/>
      <c r="D14" s="12"/>
      <c r="J14" t="s">
        <v>59</v>
      </c>
      <c r="K14" s="6"/>
      <c r="L14" t="str">
        <f t="shared" si="0"/>
        <v/>
      </c>
    </row>
    <row r="15" spans="1:12" ht="28.5" customHeight="1" x14ac:dyDescent="0.25">
      <c r="B15" s="14"/>
      <c r="C15" s="15" t="s">
        <v>1</v>
      </c>
      <c r="D15" s="16" t="s">
        <v>56</v>
      </c>
      <c r="H15" s="1"/>
      <c r="K15" s="7" t="s">
        <v>10</v>
      </c>
      <c r="L15" t="str">
        <f t="shared" si="0"/>
        <v>description: Un super événement ou l'on va bien s'amuser</v>
      </c>
    </row>
    <row r="16" spans="1:12" x14ac:dyDescent="0.25">
      <c r="B16" s="14"/>
      <c r="C16" s="15" t="s">
        <v>3</v>
      </c>
      <c r="H16" s="1"/>
      <c r="K16" s="8" t="s">
        <v>21</v>
      </c>
      <c r="L16" t="str">
        <f t="shared" si="0"/>
        <v/>
      </c>
    </row>
    <row r="17" spans="2:12" x14ac:dyDescent="0.25">
      <c r="B17" s="14"/>
      <c r="C17" s="15" t="s">
        <v>17</v>
      </c>
      <c r="H17" s="1"/>
      <c r="K17" s="8" t="s">
        <v>18</v>
      </c>
      <c r="L17" t="str">
        <f t="shared" si="0"/>
        <v/>
      </c>
    </row>
    <row r="18" spans="2:12" x14ac:dyDescent="0.25">
      <c r="B18" s="14"/>
      <c r="C18" s="15" t="s">
        <v>26</v>
      </c>
      <c r="K18" s="8" t="s">
        <v>23</v>
      </c>
      <c r="L18" t="str">
        <f t="shared" si="0"/>
        <v/>
      </c>
    </row>
    <row r="19" spans="2:12" x14ac:dyDescent="0.25">
      <c r="B19" s="14"/>
      <c r="C19" s="15" t="s">
        <v>22</v>
      </c>
      <c r="K19" s="8" t="s">
        <v>25</v>
      </c>
      <c r="L19" t="str">
        <f t="shared" si="0"/>
        <v/>
      </c>
    </row>
    <row r="20" spans="2:12" x14ac:dyDescent="0.25">
      <c r="B20" s="14"/>
      <c r="C20" s="15" t="s">
        <v>20</v>
      </c>
      <c r="D20" s="10" t="s">
        <v>107</v>
      </c>
      <c r="H20" s="2"/>
      <c r="K20" s="8" t="s">
        <v>20</v>
      </c>
      <c r="L20" t="str">
        <f t="shared" si="0"/>
        <v>tags: conference philosophie sciences</v>
      </c>
    </row>
    <row r="21" spans="2:12" x14ac:dyDescent="0.25">
      <c r="C21" s="43"/>
      <c r="K21" s="6"/>
      <c r="L21" t="str">
        <f t="shared" si="0"/>
        <v/>
      </c>
    </row>
    <row r="22" spans="2:12" x14ac:dyDescent="0.25">
      <c r="B22" s="4" t="s">
        <v>15</v>
      </c>
      <c r="C22" s="44"/>
      <c r="D22" s="12"/>
      <c r="H22" s="2"/>
      <c r="J22" t="s">
        <v>59</v>
      </c>
      <c r="K22" s="6"/>
      <c r="L22" t="str">
        <f t="shared" si="0"/>
        <v/>
      </c>
    </row>
    <row r="23" spans="2:12" x14ac:dyDescent="0.25">
      <c r="B23" s="14"/>
      <c r="C23" s="15" t="s">
        <v>4</v>
      </c>
      <c r="D23" s="10" t="s">
        <v>72</v>
      </c>
      <c r="K23" s="7" t="s">
        <v>7</v>
      </c>
      <c r="L23" t="str">
        <f t="shared" si="0"/>
        <v>salle: Point ephemere</v>
      </c>
    </row>
    <row r="24" spans="2:12" x14ac:dyDescent="0.25">
      <c r="B24" s="14"/>
      <c r="C24" s="15" t="s">
        <v>5</v>
      </c>
      <c r="D24" s="10" t="s">
        <v>73</v>
      </c>
      <c r="K24" s="7" t="s">
        <v>9</v>
      </c>
      <c r="L24" t="str">
        <f t="shared" si="0"/>
        <v>address: Point ephemere, paris 10</v>
      </c>
    </row>
    <row r="25" spans="2:12" x14ac:dyDescent="0.25">
      <c r="C25" s="43"/>
      <c r="K25" s="6"/>
      <c r="L25" t="str">
        <f t="shared" si="0"/>
        <v/>
      </c>
    </row>
    <row r="26" spans="2:12" x14ac:dyDescent="0.25">
      <c r="B26" s="4" t="s">
        <v>14</v>
      </c>
      <c r="C26" s="44"/>
      <c r="D26" s="12"/>
      <c r="H26" s="2"/>
      <c r="K26" s="6" t="s">
        <v>60</v>
      </c>
      <c r="L26" t="str">
        <f t="shared" si="0"/>
        <v>validate:</v>
      </c>
    </row>
    <row r="27" spans="2:12" x14ac:dyDescent="0.25">
      <c r="B27" s="14"/>
      <c r="C27" s="15" t="s">
        <v>11</v>
      </c>
      <c r="D27" s="10">
        <v>2</v>
      </c>
      <c r="K27" s="6" t="s">
        <v>61</v>
      </c>
      <c r="L27" t="str">
        <f t="shared" si="0"/>
        <v xml:space="preserve"> auto_validate: 2</v>
      </c>
    </row>
    <row r="28" spans="2:12" x14ac:dyDescent="0.25">
      <c r="B28" s="14"/>
      <c r="C28" s="15" t="s">
        <v>12</v>
      </c>
      <c r="K28" s="6" t="s">
        <v>62</v>
      </c>
      <c r="L28" t="str">
        <f t="shared" si="0"/>
        <v/>
      </c>
    </row>
    <row r="29" spans="2:12" x14ac:dyDescent="0.25">
      <c r="B29" s="14"/>
      <c r="C29" s="51" t="s">
        <v>13</v>
      </c>
      <c r="K29" s="6" t="s">
        <v>63</v>
      </c>
      <c r="L29" t="str">
        <f t="shared" si="0"/>
        <v/>
      </c>
    </row>
    <row r="30" spans="2:12" x14ac:dyDescent="0.25">
      <c r="B30" s="14"/>
      <c r="C30" s="51"/>
      <c r="K30" s="6"/>
      <c r="L30" t="str">
        <f t="shared" si="0"/>
        <v/>
      </c>
    </row>
    <row r="31" spans="2:12" x14ac:dyDescent="0.25">
      <c r="B31" s="14"/>
      <c r="C31" s="51"/>
      <c r="K31" s="6"/>
      <c r="L31" t="str">
        <f t="shared" si="0"/>
        <v/>
      </c>
    </row>
    <row r="32" spans="2:12" x14ac:dyDescent="0.25">
      <c r="B32" s="14"/>
      <c r="C32" s="51"/>
      <c r="K32" s="6"/>
      <c r="L32" t="str">
        <f t="shared" si="0"/>
        <v/>
      </c>
    </row>
    <row r="33" spans="2:12" x14ac:dyDescent="0.25">
      <c r="K33" s="6"/>
      <c r="L33" t="str">
        <f t="shared" si="0"/>
        <v/>
      </c>
    </row>
    <row r="34" spans="2:12" x14ac:dyDescent="0.25">
      <c r="B34" s="5" t="s">
        <v>24</v>
      </c>
      <c r="C34" s="4"/>
      <c r="D34" s="12"/>
      <c r="J34" t="s">
        <v>59</v>
      </c>
      <c r="K34" s="6"/>
      <c r="L34" t="str">
        <f t="shared" si="0"/>
        <v/>
      </c>
    </row>
    <row r="35" spans="2:12" x14ac:dyDescent="0.25">
      <c r="B35" s="14"/>
      <c r="C35" s="14" t="s">
        <v>92</v>
      </c>
      <c r="K35" s="8" t="s">
        <v>31</v>
      </c>
      <c r="L35" t="str">
        <f t="shared" si="0"/>
        <v/>
      </c>
    </row>
    <row r="36" spans="2:12" ht="30" x14ac:dyDescent="0.25">
      <c r="B36" s="14"/>
      <c r="C36" s="17" t="s">
        <v>32</v>
      </c>
      <c r="D36" s="10">
        <v>2</v>
      </c>
      <c r="K36" s="2" t="s">
        <v>45</v>
      </c>
      <c r="L36" t="str">
        <f t="shared" si="0"/>
        <v>max_free_by_user: 2</v>
      </c>
    </row>
    <row r="37" spans="2:12" x14ac:dyDescent="0.25">
      <c r="B37" s="14"/>
      <c r="C37" s="14" t="s">
        <v>33</v>
      </c>
      <c r="D37" s="10" t="s">
        <v>47</v>
      </c>
      <c r="K37" s="2" t="s">
        <v>46</v>
      </c>
      <c r="L37" t="str">
        <f t="shared" si="0"/>
        <v>background_color: "DDDDDD"</v>
      </c>
    </row>
    <row r="38" spans="2:12" x14ac:dyDescent="0.25">
      <c r="B38" s="14"/>
      <c r="C38" s="14" t="s">
        <v>53</v>
      </c>
      <c r="D38" s="10" t="s">
        <v>54</v>
      </c>
      <c r="K38" t="s">
        <v>55</v>
      </c>
      <c r="L38" t="str">
        <f t="shared" si="0"/>
        <v>date_format: dd/mm</v>
      </c>
    </row>
    <row r="39" spans="2:12" x14ac:dyDescent="0.25">
      <c r="B39" s="14"/>
      <c r="C39" s="14"/>
      <c r="L39" t="str">
        <f t="shared" si="0"/>
        <v/>
      </c>
    </row>
    <row r="40" spans="2:12" x14ac:dyDescent="0.25">
      <c r="B40" s="14"/>
      <c r="C40" s="14" t="s">
        <v>57</v>
      </c>
      <c r="D40" s="11" t="s">
        <v>58</v>
      </c>
      <c r="K40" t="s">
        <v>64</v>
      </c>
      <c r="L40" t="str">
        <f t="shared" si="0"/>
        <v>store:\n web: https://app.kerberus.tech/assets/store.html</v>
      </c>
    </row>
    <row r="41" spans="2:12" x14ac:dyDescent="0.25">
      <c r="L41" t="str">
        <f t="shared" ref="L41:L48" si="1">IF(J41="x","",IF(B41&lt;&gt;"",B41 &amp; ":",IF(AND(C41&lt;&gt;"", D41&lt;&gt;""),K41 &amp; ": " &amp; D41,"")))</f>
        <v/>
      </c>
    </row>
    <row r="42" spans="2:12" x14ac:dyDescent="0.25">
      <c r="L42" t="str">
        <f t="shared" si="1"/>
        <v/>
      </c>
    </row>
    <row r="43" spans="2:12" x14ac:dyDescent="0.25">
      <c r="L43" t="str">
        <f t="shared" si="1"/>
        <v/>
      </c>
    </row>
    <row r="44" spans="2:12" x14ac:dyDescent="0.25">
      <c r="L44" t="str">
        <f t="shared" si="1"/>
        <v/>
      </c>
    </row>
    <row r="45" spans="2:12" x14ac:dyDescent="0.25">
      <c r="L45" t="str">
        <f t="shared" si="1"/>
        <v/>
      </c>
    </row>
    <row r="46" spans="2:12" x14ac:dyDescent="0.25">
      <c r="L46" t="str">
        <f t="shared" si="1"/>
        <v/>
      </c>
    </row>
    <row r="47" spans="2:12" x14ac:dyDescent="0.25">
      <c r="L47" t="str">
        <f t="shared" si="1"/>
        <v/>
      </c>
    </row>
    <row r="48" spans="2:12" x14ac:dyDescent="0.25">
      <c r="L48" t="str">
        <f t="shared" si="1"/>
        <v/>
      </c>
    </row>
  </sheetData>
  <mergeCells count="1">
    <mergeCell ref="C29:C32"/>
  </mergeCells>
  <dataValidations count="1">
    <dataValidation type="whole" allowBlank="1" showInputMessage="1" showErrorMessage="1" sqref="D27">
      <formula1>0</formula1>
      <formula2>2</formula2>
    </dataValidation>
  </dataValidations>
  <hyperlinks>
    <hyperlink ref="D3" r:id="rId1"/>
    <hyperlink ref="D40" r:id="rId2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_event">
                <anchor moveWithCells="1" sizeWithCells="1">
                  <from>
                    <xdr:col>0</xdr:col>
                    <xdr:colOff>228600</xdr:colOff>
                    <xdr:row>7</xdr:row>
                    <xdr:rowOff>38100</xdr:rowOff>
                  </from>
                  <to>
                    <xdr:col>0</xdr:col>
                    <xdr:colOff>1228725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Références!$B$10:$B$11</xm:f>
          </x14:formula1>
          <xm:sqref>D28</xm:sqref>
        </x14:dataValidation>
        <x14:dataValidation type="list" allowBlank="1" showInputMessage="1" showErrorMessage="1">
          <x14:formula1>
            <xm:f>Références!B1:B6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S13"/>
  <sheetViews>
    <sheetView showGridLines="0" tabSelected="1" workbookViewId="0">
      <selection activeCell="I9" sqref="I9"/>
    </sheetView>
  </sheetViews>
  <sheetFormatPr baseColWidth="10" defaultRowHeight="15" x14ac:dyDescent="0.25"/>
  <cols>
    <col min="1" max="1" width="4.85546875" customWidth="1"/>
    <col min="2" max="2" width="5" style="3" customWidth="1"/>
    <col min="3" max="4" width="24.7109375" customWidth="1"/>
    <col min="5" max="5" width="18.28515625" customWidth="1"/>
    <col min="6" max="6" width="14.85546875" customWidth="1"/>
    <col min="7" max="7" width="11.28515625" customWidth="1"/>
    <col min="8" max="8" width="12.42578125" customWidth="1"/>
    <col min="9" max="9" width="13.5703125" style="22" customWidth="1"/>
    <col min="10" max="10" width="58.85546875" customWidth="1"/>
    <col min="11" max="11" width="41.28515625" style="3" customWidth="1"/>
    <col min="12" max="12" width="31" customWidth="1"/>
  </cols>
  <sheetData>
    <row r="1" spans="1:19" s="38" customFormat="1" ht="39.75" customHeight="1" x14ac:dyDescent="0.25">
      <c r="A1" s="40" t="s">
        <v>95</v>
      </c>
      <c r="B1" s="37"/>
      <c r="I1" s="39"/>
      <c r="K1" s="37"/>
    </row>
    <row r="2" spans="1:19" ht="27.75" customHeight="1" x14ac:dyDescent="0.5">
      <c r="I2" s="24" t="s">
        <v>93</v>
      </c>
      <c r="J2" s="35" t="str">
        <f>'Fabriquer un événement'!D9</f>
        <v>Mon événément</v>
      </c>
    </row>
    <row r="3" spans="1:19" ht="30" x14ac:dyDescent="0.25">
      <c r="E3" s="34" t="str">
        <f>HYPERLINK(Références!$B$16 &amp; "?command=validate&amp;event=" &amp; $J$3 &amp; "&amp;address=" &amp;  'Fabriquer un événement'!D3,"Valider les billets")</f>
        <v>Valider les billets</v>
      </c>
      <c r="F3" s="22"/>
      <c r="I3" s="45" t="s">
        <v>65</v>
      </c>
      <c r="J3" s="48">
        <f>'Fabriquer un événement'!D5</f>
        <v>1590153850</v>
      </c>
    </row>
    <row r="4" spans="1:19" x14ac:dyDescent="0.25">
      <c r="E4" s="34" t="str">
        <f>HYPERLINK(Références!B16 &amp; "?command=validate&amp;event=" &amp; $J$3,"Valider les billets")</f>
        <v>Valider les billets</v>
      </c>
      <c r="I4" s="14" t="s">
        <v>66</v>
      </c>
      <c r="J4" s="9" t="str">
        <f>Références!B15 &amp; "/api/add_ticket"</f>
        <v>https://server.f80.fr:6800/api/add_ticket</v>
      </c>
    </row>
    <row r="5" spans="1:19" x14ac:dyDescent="0.25">
      <c r="I5"/>
    </row>
    <row r="6" spans="1:19" x14ac:dyDescent="0.25">
      <c r="K6" s="19"/>
    </row>
    <row r="7" spans="1:19" ht="15" customHeight="1" x14ac:dyDescent="0.25">
      <c r="C7" s="25" t="s">
        <v>79</v>
      </c>
      <c r="D7" s="25"/>
      <c r="E7" s="25"/>
      <c r="F7" s="25"/>
      <c r="G7" s="25"/>
      <c r="I7" s="52" t="s">
        <v>77</v>
      </c>
      <c r="J7" s="52"/>
      <c r="K7" s="49"/>
      <c r="L7" s="23"/>
      <c r="M7" s="23"/>
      <c r="N7" s="23"/>
      <c r="O7" s="23"/>
      <c r="P7" s="23"/>
      <c r="Q7" s="23"/>
      <c r="R7" s="23"/>
      <c r="S7" s="23"/>
    </row>
    <row r="8" spans="1:19" ht="15.75" customHeight="1" x14ac:dyDescent="0.25">
      <c r="C8" s="27" t="s">
        <v>27</v>
      </c>
      <c r="D8" s="27" t="s">
        <v>106</v>
      </c>
      <c r="E8" s="27" t="s">
        <v>67</v>
      </c>
      <c r="F8" s="27" t="s">
        <v>97</v>
      </c>
      <c r="G8" s="27" t="s">
        <v>28</v>
      </c>
      <c r="H8" s="3"/>
      <c r="I8" s="46" t="s">
        <v>96</v>
      </c>
      <c r="J8" s="26" t="s">
        <v>78</v>
      </c>
      <c r="K8" s="27" t="s">
        <v>85</v>
      </c>
      <c r="L8" s="27" t="s">
        <v>108</v>
      </c>
    </row>
    <row r="9" spans="1:19" ht="15.75" customHeight="1" x14ac:dyDescent="0.25">
      <c r="B9" s="31">
        <v>1</v>
      </c>
      <c r="C9" s="3" t="str">
        <f t="shared" ref="C9:C12" si="0">"Ref #" &amp; B9</f>
        <v>Ref #1</v>
      </c>
      <c r="D9" s="19" t="s">
        <v>70</v>
      </c>
      <c r="E9" s="18">
        <v>43983</v>
      </c>
      <c r="F9" s="47">
        <v>0.83333333333333337</v>
      </c>
      <c r="G9" s="3">
        <v>20</v>
      </c>
      <c r="H9" s="3"/>
      <c r="I9"/>
      <c r="J9" s="9" t="str">
        <f>HYPERLINK($J$4 &amp; "/" &amp; $J$3 &amp; "/" &amp; D9 &amp; "/" &amp; _xlfn.ENCODEURL(C9) &amp; "/" &amp; G9 &amp; "/" &amp; toDelay(E9+F9) &amp; "?access_token=" &amp; 'Fabriquer un événement'!$D$4 &amp; "&amp;onlyid=True")</f>
        <v>https://server.f80.fr:6800/api/add_ticket/1590153850/roger.legumes@gmail.com/Ref%20%231/20/+191?access_token=demo_token&amp;onlyid=True</v>
      </c>
      <c r="K9" s="19" t="str">
        <f>HYPERLINK(Références!$B$16 &amp; "?command=myevents&amp;event=" &amp; $J$3 &amp; "&amp;address=" &amp; Tableau2[[#This Row],[Titulaire]],"KERBERUS pour " &amp; Tableau2[[#This Row],[Titulaire]])</f>
        <v>KERBERUS pour roger.legumes@gmail.com</v>
      </c>
    </row>
    <row r="10" spans="1:19" ht="15.75" customHeight="1" x14ac:dyDescent="0.25">
      <c r="B10" s="31">
        <v>2</v>
      </c>
      <c r="C10" s="3" t="str">
        <f t="shared" si="0"/>
        <v>Ref #2</v>
      </c>
      <c r="D10" s="19" t="s">
        <v>68</v>
      </c>
      <c r="E10" s="18">
        <v>43983</v>
      </c>
      <c r="F10" s="47">
        <v>0.83333333333333337</v>
      </c>
      <c r="G10" s="3">
        <v>20</v>
      </c>
      <c r="H10" s="3"/>
      <c r="I10"/>
      <c r="J10" s="9" t="str">
        <f>HYPERLINK($J$4 &amp; "/" &amp; $J$3 &amp; "/" &amp; D10 &amp; "/" &amp; _xlfn.ENCODEURL(C10) &amp; "/" &amp; G10 &amp; "/" &amp; toDelay(E10+F10) &amp; "?access_token=" &amp; 'Fabriquer un événement'!$D$4 &amp; "&amp;onlyid=True")</f>
        <v>https://server.f80.fr:6800/api/add_ticket/1590153850/paul.dudule@gmail.com/Ref%20%232/20/+191?access_token=demo_token&amp;onlyid=True</v>
      </c>
      <c r="K10" s="19" t="str">
        <f>HYPERLINK(Références!$B$16 &amp; "?command=myevents&amp;event=" &amp; $J$3 &amp; "&amp;address=" &amp; Tableau2[[#This Row],[Titulaire]],"KERBERUS pour " &amp; Tableau2[[#This Row],[Titulaire]])</f>
        <v>KERBERUS pour paul.dudule@gmail.com</v>
      </c>
    </row>
    <row r="11" spans="1:19" ht="15.75" customHeight="1" x14ac:dyDescent="0.25">
      <c r="B11" s="31">
        <v>3</v>
      </c>
      <c r="C11" s="3" t="str">
        <f t="shared" si="0"/>
        <v>Ref #3</v>
      </c>
      <c r="D11" s="19" t="s">
        <v>69</v>
      </c>
      <c r="E11" s="18">
        <v>43983</v>
      </c>
      <c r="F11" s="47">
        <v>0.83333333333333337</v>
      </c>
      <c r="G11" s="3">
        <v>120</v>
      </c>
      <c r="H11" s="3"/>
      <c r="I11"/>
      <c r="J11" s="9" t="str">
        <f>HYPERLINK($J$4 &amp; "/" &amp; $J$3 &amp; "/" &amp; D11 &amp; "/" &amp; _xlfn.ENCODEURL(C11) &amp; "/" &amp; G11 &amp; "/" &amp; toDelay(E11+F11) &amp; "?access_token=" &amp; 'Fabriquer un événement'!$D$4 &amp; "&amp;onlyid=True")</f>
        <v>https://server.f80.fr:6800/api/add_ticket/1590153850/sophie.dudule@gmail.com/Ref%20%233/120/+191?access_token=demo_token&amp;onlyid=True</v>
      </c>
      <c r="K11" s="19" t="str">
        <f>HYPERLINK(Références!$B$16 &amp; "?command=myevents&amp;event=" &amp; $J$3 &amp; "&amp;address=" &amp; Tableau2[[#This Row],[Titulaire]],"KERBERUS pour " &amp; Tableau2[[#This Row],[Titulaire]])</f>
        <v>KERBERUS pour sophie.dudule@gmail.com</v>
      </c>
    </row>
    <row r="12" spans="1:19" ht="15.75" customHeight="1" x14ac:dyDescent="0.25">
      <c r="B12" s="31">
        <v>4</v>
      </c>
      <c r="C12" s="3" t="str">
        <f t="shared" si="0"/>
        <v>Ref #4</v>
      </c>
      <c r="D12" s="19" t="s">
        <v>71</v>
      </c>
      <c r="E12" s="18">
        <v>43984</v>
      </c>
      <c r="F12" s="47">
        <v>0.83333333333333337</v>
      </c>
      <c r="G12" s="3">
        <v>30</v>
      </c>
      <c r="H12" s="3"/>
      <c r="I12"/>
      <c r="J12" s="9" t="str">
        <f>HYPERLINK($J$4 &amp; "/" &amp; $J$3 &amp; "/" &amp; D12 &amp; "/" &amp; _xlfn.ENCODEURL(C12) &amp; "/" &amp; G12 &amp; "/" &amp; toDelay(E12+F12) &amp; "?access_token=" &amp; 'Fabriquer un événement'!$D$4 &amp; "&amp;onlyid=True")</f>
        <v>https://server.f80.fr:6800/api/add_ticket/1590153850/herve.hoareau@f80.fr/Ref%20%234/30/+215?access_token=demo_token&amp;onlyid=True</v>
      </c>
      <c r="K12" s="19" t="str">
        <f>HYPERLINK(Références!$B$16 &amp; "?command=myevents&amp;event=" &amp; $J$3 &amp; "&amp;address=" &amp; Tableau2[[#This Row],[Titulaire]],"KERBERUS pour " &amp; Tableau2[[#This Row],[Titulaire]])</f>
        <v>KERBERUS pour herve.hoareau@f80.fr</v>
      </c>
    </row>
    <row r="13" spans="1:19" x14ac:dyDescent="0.25">
      <c r="I13"/>
    </row>
  </sheetData>
  <mergeCells count="1">
    <mergeCell ref="I7:J7"/>
  </mergeCells>
  <hyperlinks>
    <hyperlink ref="J4" r:id="rId1" display="http://localhost:6800/api/add_ticket"/>
    <hyperlink ref="D9" r:id="rId2"/>
    <hyperlink ref="D10" r:id="rId3"/>
    <hyperlink ref="D11" r:id="rId4"/>
    <hyperlink ref="D12" r:id="rId5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utton 1">
              <controlPr defaultSize="0" print="0" autoFill="0" autoPict="0" macro="[0]!create_tickets">
                <anchor moveWithCells="1" sizeWithCells="1">
                  <from>
                    <xdr:col>6</xdr:col>
                    <xdr:colOff>476250</xdr:colOff>
                    <xdr:row>13</xdr:row>
                    <xdr:rowOff>152400</xdr:rowOff>
                  </from>
                  <to>
                    <xdr:col>7</xdr:col>
                    <xdr:colOff>695325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16"/>
  <sheetViews>
    <sheetView workbookViewId="0">
      <selection activeCell="A19" sqref="A19"/>
    </sheetView>
  </sheetViews>
  <sheetFormatPr baseColWidth="10" defaultRowHeight="15" x14ac:dyDescent="0.25"/>
  <cols>
    <col min="1" max="1" width="23.140625" customWidth="1"/>
    <col min="2" max="2" width="31" customWidth="1"/>
    <col min="3" max="3" width="18.42578125" customWidth="1"/>
  </cols>
  <sheetData>
    <row r="1" spans="1:4" x14ac:dyDescent="0.25">
      <c r="A1" t="s">
        <v>36</v>
      </c>
      <c r="B1" t="s">
        <v>37</v>
      </c>
    </row>
    <row r="2" spans="1:4" x14ac:dyDescent="0.25">
      <c r="B2" t="s">
        <v>38</v>
      </c>
    </row>
    <row r="3" spans="1:4" x14ac:dyDescent="0.25">
      <c r="B3" t="s">
        <v>39</v>
      </c>
    </row>
    <row r="4" spans="1:4" x14ac:dyDescent="0.25">
      <c r="B4" t="s">
        <v>40</v>
      </c>
    </row>
    <row r="5" spans="1:4" x14ac:dyDescent="0.25">
      <c r="B5" t="s">
        <v>41</v>
      </c>
    </row>
    <row r="6" spans="1:4" x14ac:dyDescent="0.25">
      <c r="B6" t="s">
        <v>42</v>
      </c>
    </row>
    <row r="10" spans="1:4" x14ac:dyDescent="0.25">
      <c r="A10" t="s">
        <v>48</v>
      </c>
      <c r="B10" t="s">
        <v>49</v>
      </c>
    </row>
    <row r="11" spans="1:4" x14ac:dyDescent="0.25">
      <c r="B11" t="s">
        <v>50</v>
      </c>
    </row>
    <row r="14" spans="1:4" x14ac:dyDescent="0.25">
      <c r="B14" t="s">
        <v>87</v>
      </c>
      <c r="C14" t="s">
        <v>88</v>
      </c>
      <c r="D14" t="s">
        <v>89</v>
      </c>
    </row>
    <row r="15" spans="1:4" x14ac:dyDescent="0.25">
      <c r="A15" t="s">
        <v>81</v>
      </c>
      <c r="B15" s="9" t="s">
        <v>90</v>
      </c>
      <c r="C15" s="9" t="s">
        <v>83</v>
      </c>
      <c r="D15" s="9" t="s">
        <v>90</v>
      </c>
    </row>
    <row r="16" spans="1:4" x14ac:dyDescent="0.25">
      <c r="A16" t="s">
        <v>82</v>
      </c>
      <c r="B16" s="9" t="s">
        <v>91</v>
      </c>
      <c r="C16" s="9" t="s">
        <v>84</v>
      </c>
      <c r="D16" s="9" t="s">
        <v>91</v>
      </c>
    </row>
  </sheetData>
  <hyperlinks>
    <hyperlink ref="C15" r:id="rId1"/>
    <hyperlink ref="C16" r:id="rId2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E12"/>
  <sheetViews>
    <sheetView showGridLines="0" workbookViewId="0">
      <selection activeCell="H1" sqref="H1"/>
    </sheetView>
  </sheetViews>
  <sheetFormatPr baseColWidth="10" defaultRowHeight="15" x14ac:dyDescent="0.25"/>
  <cols>
    <col min="1" max="1" width="14" customWidth="1"/>
  </cols>
  <sheetData>
    <row r="1" spans="1:5" s="38" customFormat="1" ht="42" customHeight="1" x14ac:dyDescent="0.25">
      <c r="A1" s="42" t="s">
        <v>98</v>
      </c>
      <c r="D1" s="41"/>
    </row>
    <row r="5" spans="1:5" x14ac:dyDescent="0.25">
      <c r="C5" t="s">
        <v>99</v>
      </c>
      <c r="D5" t="s">
        <v>100</v>
      </c>
      <c r="E5" s="9" t="str">
        <f>HYPERLINK(Références!$B$15 &amp; "/api/stats/" &amp; 'Fabriquer un événement'!$D$5 &amp; "/" &amp; D5 &amp; "?format=csv")</f>
        <v>https://server.f80.fr:6800/api/stats/1590153850/stats?format=csv</v>
      </c>
    </row>
    <row r="6" spans="1:5" x14ac:dyDescent="0.25">
      <c r="D6" t="s">
        <v>103</v>
      </c>
      <c r="E6" s="9" t="str">
        <f>HYPERLINK(Références!$B$15 &amp; "/api/stats/" &amp; 'Fabriquer un événement'!$D$5 &amp; "/" &amp; D6 &amp; "?format=csv")</f>
        <v>https://server.f80.fr:6800/api/stats/1590153850/statsDates?format=csv</v>
      </c>
    </row>
    <row r="7" spans="1:5" x14ac:dyDescent="0.25">
      <c r="D7" t="s">
        <v>101</v>
      </c>
      <c r="E7" s="9" t="str">
        <f>HYPERLINK(Références!$B$15 &amp; "/api/stats/" &amp; 'Fabriquer un événement'!$D$5 &amp; "/" &amp; D7 &amp; "?format=csv")</f>
        <v>https://server.f80.fr:6800/api/stats/1590153850/cats?format=csv</v>
      </c>
    </row>
    <row r="8" spans="1:5" x14ac:dyDescent="0.25">
      <c r="D8" t="s">
        <v>102</v>
      </c>
      <c r="E8" s="9" t="str">
        <f>HYPERLINK(Références!$B$15 &amp; "/api/stats/" &amp; 'Fabriquer un événement'!$D$5 &amp; "/" &amp; D8 &amp; "?format=csv")</f>
        <v>https://server.f80.fr:6800/api/stats/1590153850/tickets?format=csv</v>
      </c>
    </row>
    <row r="12" spans="1:5" x14ac:dyDescent="0.25">
      <c r="C12" t="s">
        <v>104</v>
      </c>
      <c r="D12" t="s">
        <v>105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outon1_Cliquer">
                <anchor moveWithCells="1" sizeWithCells="1">
                  <from>
                    <xdr:col>0</xdr:col>
                    <xdr:colOff>285750</xdr:colOff>
                    <xdr:row>3</xdr:row>
                    <xdr:rowOff>133350</xdr:rowOff>
                  </from>
                  <to>
                    <xdr:col>1</xdr:col>
                    <xdr:colOff>523875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Fabriquer un événement</vt:lpstr>
      <vt:lpstr>Billets</vt:lpstr>
      <vt:lpstr>Références</vt:lpstr>
      <vt:lpstr>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2020-05-19T04:13:30Z</dcterms:created>
  <dcterms:modified xsi:type="dcterms:W3CDTF">2020-05-24T18:31:35Z</dcterms:modified>
</cp:coreProperties>
</file>